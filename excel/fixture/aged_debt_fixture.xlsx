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ostedReceivables" sheetId="2" r:id="rId2"/>
    <sheet name="AgedDebt" sheetId="3" r:id="rId3"/>
    <sheet name="Payments" sheetId="4" r:id="rId4"/>
    <sheet name="Unresolved" sheetId="5" r:id="rId5"/>
    <sheet name="ReadMe" sheetId="6" r:id="rId6"/>
  </sheets>
  <definedNames>
    <definedName name="ReportingDate">Summary!$B$2</definedName>
  </definedNames>
  <calcPr calcId="124519" fullCalcOnLoad="1"/>
</workbook>
</file>

<file path=xl/sharedStrings.xml><?xml version="1.0" encoding="utf-8"?>
<sst xmlns="http://schemas.openxmlformats.org/spreadsheetml/2006/main" count="219" uniqueCount="112">
  <si>
    <t>posting_key</t>
  </si>
  <si>
    <t>source_hash</t>
  </si>
  <si>
    <t>status</t>
  </si>
  <si>
    <t>document_type</t>
  </si>
  <si>
    <t>supplier</t>
  </si>
  <si>
    <t>customer</t>
  </si>
  <si>
    <t>document_number</t>
  </si>
  <si>
    <t>invoice_date</t>
  </si>
  <si>
    <t>due_date</t>
  </si>
  <si>
    <t>po_number</t>
  </si>
  <si>
    <t>currency</t>
  </si>
  <si>
    <t>net</t>
  </si>
  <si>
    <t>vat</t>
  </si>
  <si>
    <t>total</t>
  </si>
  <si>
    <t>linked_invoice</t>
  </si>
  <si>
    <t>fixture|alder motors ltd|invoice|fx-01</t>
  </si>
  <si>
    <t>fixture-FX-01</t>
  </si>
  <si>
    <t>approved</t>
  </si>
  <si>
    <t>invoice</t>
  </si>
  <si>
    <t>Northbridge Auto Components Ltd</t>
  </si>
  <si>
    <t>Alder Motors Ltd</t>
  </si>
  <si>
    <t>FX-01</t>
  </si>
  <si>
    <t>PO-FX01</t>
  </si>
  <si>
    <t>GBP</t>
  </si>
  <si>
    <t>fixture|alder motors ltd|invoice|fx-02</t>
  </si>
  <si>
    <t>fixture-FX-02</t>
  </si>
  <si>
    <t>FX-02</t>
  </si>
  <si>
    <t>PO-FX02</t>
  </si>
  <si>
    <t>fixture|alder motors ltd|invoice|fx-03</t>
  </si>
  <si>
    <t>fixture-FX-03</t>
  </si>
  <si>
    <t>FX-03</t>
  </si>
  <si>
    <t>PO-FX03</t>
  </si>
  <si>
    <t>fixture|alder motors ltd|invoice|fx-04</t>
  </si>
  <si>
    <t>fixture-FX-04</t>
  </si>
  <si>
    <t>FX-04</t>
  </si>
  <si>
    <t>PO-FX04</t>
  </si>
  <si>
    <t>fixture|alder motors ltd|invoice|fx-05</t>
  </si>
  <si>
    <t>fixture-FX-05</t>
  </si>
  <si>
    <t>FX-05</t>
  </si>
  <si>
    <t>PO-FX05</t>
  </si>
  <si>
    <t>fixture|alder motors ltd|invoice|fx-06</t>
  </si>
  <si>
    <t>fixture-FX-06</t>
  </si>
  <si>
    <t>FX-06</t>
  </si>
  <si>
    <t>PO-FX06</t>
  </si>
  <si>
    <t>fixture|alder motors ltd|invoice|fx-07</t>
  </si>
  <si>
    <t>fixture-FX-07</t>
  </si>
  <si>
    <t>FX-07</t>
  </si>
  <si>
    <t>PO-FX07</t>
  </si>
  <si>
    <t>fixture|alder motors ltd|invoice|fx-08</t>
  </si>
  <si>
    <t>fixture-FX-08</t>
  </si>
  <si>
    <t>FX-08</t>
  </si>
  <si>
    <t>PO-FX08</t>
  </si>
  <si>
    <t>fixture|alder motors ltd|invoice|fx-09</t>
  </si>
  <si>
    <t>fixture-FX-09</t>
  </si>
  <si>
    <t>FX-09</t>
  </si>
  <si>
    <t>PO-FX09</t>
  </si>
  <si>
    <t>fixture|beacon vehicle works ltd|invoice|fx-10</t>
  </si>
  <si>
    <t>fixture-FX-10</t>
  </si>
  <si>
    <t>Beacon Vehicle Works Ltd</t>
  </si>
  <si>
    <t>FX-10</t>
  </si>
  <si>
    <t>PO-FX10</t>
  </si>
  <si>
    <t>fixture|alder motors ltd|credit_note|fx-c1</t>
  </si>
  <si>
    <t>fixture-FX-C1</t>
  </si>
  <si>
    <t>credit_note</t>
  </si>
  <si>
    <t>FX-C1</t>
  </si>
  <si>
    <t>fixture|alder motors ltd|credit_note|fx-c2</t>
  </si>
  <si>
    <t>fixture-FX-C2</t>
  </si>
  <si>
    <t>FX-C2</t>
  </si>
  <si>
    <t>fixture|alder motors ltd|credit_note|fx-c3</t>
  </si>
  <si>
    <t>fixture-FX-C3</t>
  </si>
  <si>
    <t>FX-C3</t>
  </si>
  <si>
    <t>payments</t>
  </si>
  <si>
    <t>credits</t>
  </si>
  <si>
    <t>balance</t>
  </si>
  <si>
    <t>days_overdue</t>
  </si>
  <si>
    <t>bucket</t>
  </si>
  <si>
    <t>current</t>
  </si>
  <si>
    <t>1–30</t>
  </si>
  <si>
    <t>31–60</t>
  </si>
  <si>
    <t>61–90</t>
  </si>
  <si>
    <t>91+</t>
  </si>
  <si>
    <t>payment_id</t>
  </si>
  <si>
    <t>invoice_number</t>
  </si>
  <si>
    <t>payment_date</t>
  </si>
  <si>
    <t>amount</t>
  </si>
  <si>
    <t>FXP-1</t>
  </si>
  <si>
    <t>FXP-2</t>
  </si>
  <si>
    <t>FXP-3</t>
  </si>
  <si>
    <t>FXP-4</t>
  </si>
  <si>
    <t>FXP-5</t>
  </si>
  <si>
    <t>id</t>
  </si>
  <si>
    <t>filename</t>
  </si>
  <si>
    <t>Aged debt summary</t>
  </si>
  <si>
    <t>Reporting date</t>
  </si>
  <si>
    <t>Approved invoices after payments and allocated credits. Totals are SUMIF formulas over the AgedDebt sheet.</t>
  </si>
  <si>
    <t>Customer</t>
  </si>
  <si>
    <t>Current</t>
  </si>
  <si>
    <t>1–30 days</t>
  </si>
  <si>
    <t>31–60 days</t>
  </si>
  <si>
    <t>61–90 days</t>
  </si>
  <si>
    <t>91+ days</t>
  </si>
  <si>
    <t>Total</t>
  </si>
  <si>
    <t>Documents excluded (in review or rejected)</t>
  </si>
  <si>
    <t>About this workbook</t>
  </si>
  <si>
    <t>Reporting date: 10 October 2026</t>
  </si>
  <si>
    <t>Fictional prototype data. Microsoft 365 integrations are not configured.</t>
  </si>
  <si>
    <t>Currency GBP; VAT assumed at 20%. A balance due on the reporting date is current.</t>
  </si>
  <si>
    <t>Approved credit notes reduce the invoice they are linked to. Negative balances are customer credits and are kept.</t>
  </si>
  <si>
    <t>PostedReceivables is the approved document register. AgedDebt holds only transactions dated on or before the reporting date.</t>
  </si>
  <si>
    <t>Payments is the full imported ledger; payments after the reporting date are ignored by the aging rules.</t>
  </si>
  <si>
    <t>Summary totals are SUMIF formulas over AgedDebt. Other values are Python snapshots: re-export to change the date.</t>
  </si>
  <si>
    <t>Empty tables keep one blank row. Import only rows with status "approved" and a non-empty posting_key.</t>
  </si>
</sst>
</file>

<file path=xl/styles.xml><?xml version="1.0" encoding="utf-8"?>
<styleSheet xmlns="http://schemas.openxmlformats.org/spreadsheetml/2006/main">
  <numFmts count="2">
    <numFmt numFmtId="164" formatCode="£#,##0.00;(£#,##0.00);&quot;–&quot;"/>
    <numFmt numFmtId="165" formatCode="dd mmm yyyy"/>
  </numFmts>
  <fonts count="5">
    <font>
      <sz val="10"/>
      <color theme="1"/>
      <name val="Arial"/>
      <family val="2"/>
    </font>
    <font>
      <b/>
      <sz val="14"/>
      <color rgb="FF1C2A35"/>
      <name val="Arial"/>
      <family val="2"/>
    </font>
    <font>
      <b/>
      <sz val="10"/>
      <color theme="1"/>
      <name val="Arial"/>
      <family val="2"/>
    </font>
    <font>
      <i/>
      <sz val="10"/>
      <color rgb="FF5A667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C2A3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1C2A35"/>
      </bottom>
      <diagonal/>
    </border>
    <border>
      <left/>
      <right/>
      <top style="thin">
        <color rgb="FF1C2A35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165" fontId="2" fillId="0" borderId="0" xfId="0" applyNumberFormat="1" applyFont="1" applyAlignment="1">
      <alignment horizontal="left"/>
    </xf>
    <xf numFmtId="0" fontId="3" fillId="0" borderId="0" xfId="0" applyFont="1"/>
    <xf numFmtId="0" fontId="4" fillId="2" borderId="1" xfId="0" applyFont="1" applyFill="1" applyBorder="1" applyAlignment="1">
      <alignment vertical="center"/>
    </xf>
    <xf numFmtId="164" fontId="2" fillId="0" borderId="0" xfId="0" applyNumberFormat="1" applyFont="1"/>
    <xf numFmtId="0" fontId="2" fillId="0" borderId="2" xfId="0" applyFont="1" applyBorder="1"/>
    <xf numFmtId="164" fontId="2" fillId="0" borderId="2" xfId="0" applyNumberFormat="1" applyFont="1" applyBorder="1"/>
    <xf numFmtId="1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2">
    <dxf>
      <numFmt numFmtId="165" formatCode="dd mmm yyyy"/>
    </dxf>
    <dxf>
      <numFmt numFmtId="164" formatCode="£#,##0.00;(£#,##0.00);&quot;–&quot;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C2A35"/>
                </a:solidFill>
                <a:latin typeface="Arial"/>
              </a:defRPr>
            </a:pPr>
            <a:r>
              <a:rPr lang="en-US" sz="1100" b="1" baseline="0">
                <a:solidFill>
                  <a:srgbClr val="1C2A35"/>
                </a:solidFill>
                <a:latin typeface="Arial"/>
              </a:rPr>
              <a:t>Outstanding balance by customer and age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Summary!$B$5</c:f>
              <c:strCache>
                <c:ptCount val="1"/>
                <c:pt idx="0">
                  <c:v>Current</c:v>
                </c:pt>
              </c:strCache>
            </c:strRef>
          </c:tx>
          <c:spPr>
            <a:solidFill>
              <a:srgbClr val="86B6EF"/>
            </a:solidFill>
            <a:ln w="15875">
              <a:solidFill>
                <a:srgbClr val="FFFFFF"/>
              </a:solidFill>
            </a:ln>
          </c:spPr>
          <c:cat>
            <c:strRef>
              <c:f>Summary!$A$6:$A$7</c:f>
              <c:strCache>
                <c:ptCount val="2"/>
                <c:pt idx="0">
                  <c:v>Alder Motors Ltd</c:v>
                </c:pt>
                <c:pt idx="1">
                  <c:v>Beacon Vehicle Works Ltd</c:v>
                </c:pt>
              </c:strCache>
            </c:strRef>
          </c:cat>
          <c:val>
            <c:numRef>
              <c:f>Summary!$B$6:$B$7</c:f>
              <c:numCache>
                <c:formatCode>General</c:formatCode>
                <c:ptCount val="2"/>
                <c:pt idx="0">
                  <c:v>120.0</c:v>
                </c:pt>
                <c:pt idx="1">
                  <c:v>1200.0</c:v>
                </c:pt>
              </c:numCache>
            </c:numRef>
          </c:val>
        </c:ser>
        <c:ser>
          <c:idx val="1"/>
          <c:order val="1"/>
          <c:tx>
            <c:strRef>
              <c:f>Summary!$C$5</c:f>
              <c:strCache>
                <c:ptCount val="1"/>
                <c:pt idx="0">
                  <c:v>1–30 days</c:v>
                </c:pt>
              </c:strCache>
            </c:strRef>
          </c:tx>
          <c:spPr>
            <a:solidFill>
              <a:srgbClr val="3987E5"/>
            </a:solidFill>
            <a:ln w="15875">
              <a:solidFill>
                <a:srgbClr val="FFFFFF"/>
              </a:solidFill>
            </a:ln>
          </c:spPr>
          <c:cat>
            <c:strRef>
              <c:f>Summary!$A$6:$A$7</c:f>
              <c:strCache>
                <c:ptCount val="2"/>
                <c:pt idx="0">
                  <c:v>Alder Motors Ltd</c:v>
                </c:pt>
                <c:pt idx="1">
                  <c:v>Beacon Vehicle Works Ltd</c:v>
                </c:pt>
              </c:strCache>
            </c:strRef>
          </c:cat>
          <c:val>
            <c:numRef>
              <c:f>Summary!$C$6:$C$7</c:f>
              <c:numCache>
                <c:formatCode>General</c:formatCode>
                <c:ptCount val="2"/>
                <c:pt idx="0">
                  <c:v>200.0</c:v>
                </c:pt>
                <c:pt idx="1">
                  <c:v>0.0</c:v>
                </c:pt>
              </c:numCache>
            </c:numRef>
          </c:val>
        </c:ser>
        <c:ser>
          <c:idx val="2"/>
          <c:order val="2"/>
          <c:tx>
            <c:strRef>
              <c:f>Summary!$D$5</c:f>
              <c:strCache>
                <c:ptCount val="1"/>
                <c:pt idx="0">
                  <c:v>31–60 days</c:v>
                </c:pt>
              </c:strCache>
            </c:strRef>
          </c:tx>
          <c:spPr>
            <a:solidFill>
              <a:srgbClr val="256ABF"/>
            </a:solidFill>
            <a:ln w="15875">
              <a:solidFill>
                <a:srgbClr val="FFFFFF"/>
              </a:solidFill>
            </a:ln>
          </c:spPr>
          <c:cat>
            <c:strRef>
              <c:f>Summary!$A$6:$A$7</c:f>
              <c:strCache>
                <c:ptCount val="2"/>
                <c:pt idx="0">
                  <c:v>Alder Motors Ltd</c:v>
                </c:pt>
                <c:pt idx="1">
                  <c:v>Beacon Vehicle Works Ltd</c:v>
                </c:pt>
              </c:strCache>
            </c:strRef>
          </c:cat>
          <c:val>
            <c:numRef>
              <c:f>Summary!$D$6:$D$7</c:f>
              <c:numCache>
                <c:formatCode>General</c:formatCode>
                <c:ptCount val="2"/>
                <c:pt idx="0">
                  <c:v>960.0</c:v>
                </c:pt>
                <c:pt idx="1">
                  <c:v>0.0</c:v>
                </c:pt>
              </c:numCache>
            </c:numRef>
          </c:val>
        </c:ser>
        <c:ser>
          <c:idx val="3"/>
          <c:order val="3"/>
          <c:tx>
            <c:strRef>
              <c:f>Summary!$E$5</c:f>
              <c:strCache>
                <c:ptCount val="1"/>
                <c:pt idx="0">
                  <c:v>61–90 days</c:v>
                </c:pt>
              </c:strCache>
            </c:strRef>
          </c:tx>
          <c:spPr>
            <a:solidFill>
              <a:srgbClr val="184F95"/>
            </a:solidFill>
            <a:ln w="15875">
              <a:solidFill>
                <a:srgbClr val="FFFFFF"/>
              </a:solidFill>
            </a:ln>
          </c:spPr>
          <c:cat>
            <c:strRef>
              <c:f>Summary!$A$6:$A$7</c:f>
              <c:strCache>
                <c:ptCount val="2"/>
                <c:pt idx="0">
                  <c:v>Alder Motors Ltd</c:v>
                </c:pt>
                <c:pt idx="1">
                  <c:v>Beacon Vehicle Works Ltd</c:v>
                </c:pt>
              </c:strCache>
            </c:strRef>
          </c:cat>
          <c:val>
            <c:numRef>
              <c:f>Summary!$E$6:$E$7</c:f>
              <c:numCache>
                <c:formatCode>General</c:formatCode>
                <c:ptCount val="2"/>
                <c:pt idx="0">
                  <c:v>1560.0</c:v>
                </c:pt>
                <c:pt idx="1">
                  <c:v>0.0</c:v>
                </c:pt>
              </c:numCache>
            </c:numRef>
          </c:val>
        </c:ser>
        <c:ser>
          <c:idx val="4"/>
          <c:order val="4"/>
          <c:tx>
            <c:strRef>
              <c:f>Summary!$F$5</c:f>
              <c:strCache>
                <c:ptCount val="1"/>
                <c:pt idx="0">
                  <c:v>91+ days</c:v>
                </c:pt>
              </c:strCache>
            </c:strRef>
          </c:tx>
          <c:spPr>
            <a:solidFill>
              <a:srgbClr val="0D366B"/>
            </a:solidFill>
            <a:ln w="15875">
              <a:solidFill>
                <a:srgbClr val="FFFFFF"/>
              </a:solidFill>
            </a:ln>
          </c:spPr>
          <c:cat>
            <c:strRef>
              <c:f>Summary!$A$6:$A$7</c:f>
              <c:strCache>
                <c:ptCount val="2"/>
                <c:pt idx="0">
                  <c:v>Alder Motors Ltd</c:v>
                </c:pt>
                <c:pt idx="1">
                  <c:v>Beacon Vehicle Works Ltd</c:v>
                </c:pt>
              </c:strCache>
            </c:strRef>
          </c:cat>
          <c:val>
            <c:numRef>
              <c:f>Summary!$F$6:$F$7</c:f>
              <c:numCache>
                <c:formatCode>General</c:formatCode>
                <c:ptCount val="2"/>
                <c:pt idx="0">
                  <c:v>-40.0</c:v>
                </c:pt>
                <c:pt idx="1">
                  <c:v>0.0</c:v>
                </c:pt>
              </c:numCache>
            </c:numRef>
          </c:val>
        </c:ser>
        <c:gapWidth val="70"/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majorTickMark val="none"/>
        <c:tickLblPos val="nextTo"/>
        <c:spPr>
          <a:ln>
            <a:solidFill>
              <a:srgbClr val="D3D9DD"/>
            </a:solidFill>
          </a:ln>
        </c:spPr>
        <c:txPr>
          <a:bodyPr/>
          <a:lstStyle/>
          <a:p>
            <a:pPr>
              <a:defRPr sz="900" baseline="0">
                <a:solidFill>
                  <a:srgbClr val="1C2A35"/>
                </a:solidFill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>
          <c:spPr>
            <a:ln w="9525">
              <a:solidFill>
                <a:srgbClr val="D3D9DD"/>
              </a:solidFill>
            </a:ln>
          </c:spPr>
        </c:majorGridlines>
        <c:numFmt formatCode="£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A6670"/>
                </a:solidFill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solidFill>
                <a:srgbClr val="5A6670"/>
              </a:solidFill>
              <a:latin typeface="Arial"/>
            </a:defRPr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11</xdr:row>
      <xdr:rowOff>38100</xdr:rowOff>
    </xdr:from>
    <xdr:to>
      <xdr:col>5</xdr:col>
      <xdr:colOff>1019175</xdr:colOff>
      <xdr:row>27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PostedReceivables" displayName="PostedReceivables" ref="A1:O14" totalsRowShown="0">
  <autoFilter ref="A1:O14"/>
  <tableColumns count="15">
    <tableColumn id="1" name="posting_key"/>
    <tableColumn id="2" name="source_hash"/>
    <tableColumn id="3" name="status"/>
    <tableColumn id="4" name="document_type"/>
    <tableColumn id="5" name="supplier"/>
    <tableColumn id="6" name="customer"/>
    <tableColumn id="7" name="document_number"/>
    <tableColumn id="8" name="invoice_date" dataDxfId="0"/>
    <tableColumn id="9" name="due_date" dataDxfId="0"/>
    <tableColumn id="10" name="po_number"/>
    <tableColumn id="11" name="currency"/>
    <tableColumn id="12" name="net" dataDxfId="1"/>
    <tableColumn id="13" name="vat" dataDxfId="1"/>
    <tableColumn id="14" name="total" dataDxfId="1"/>
    <tableColumn id="15" name="linked_invoic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AgedDebt" displayName="AgedDebt" ref="A1:N10" totalsRowShown="0">
  <autoFilter ref="A1:N10"/>
  <tableColumns count="14">
    <tableColumn id="1" name="customer"/>
    <tableColumn id="2" name="document_number"/>
    <tableColumn id="3" name="due_date" dataDxfId="0"/>
    <tableColumn id="4" name="total" dataDxfId="1"/>
    <tableColumn id="5" name="payments" dataDxfId="1"/>
    <tableColumn id="6" name="credits" dataDxfId="1"/>
    <tableColumn id="7" name="balance" dataDxfId="1"/>
    <tableColumn id="8" name="days_overdue"/>
    <tableColumn id="9" name="bucket"/>
    <tableColumn id="10" name="current" dataDxfId="1"/>
    <tableColumn id="11" name="1–30" dataDxfId="1"/>
    <tableColumn id="12" name="31–60" dataDxfId="1"/>
    <tableColumn id="13" name="61–90" dataDxfId="1"/>
    <tableColumn id="14" name="91+" dataDxfId="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Payments" displayName="Payments" ref="A1:E6" totalsRowShown="0">
  <autoFilter ref="A1:E6"/>
  <tableColumns count="5">
    <tableColumn id="1" name="payment_id"/>
    <tableColumn id="2" name="invoice_number"/>
    <tableColumn id="3" name="customer"/>
    <tableColumn id="4" name="payment_date" dataDxfId="0"/>
    <tableColumn id="5" name="amount" dataDxfId="1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Unresolved" displayName="Unresolved" ref="A1:C2" totalsRowShown="0">
  <autoFilter ref="A1:C2"/>
  <tableColumns count="3">
    <tableColumn id="1" name="id"/>
    <tableColumn id="2" name="filename"/>
    <tableColumn id="3" name="statu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showGridLines="0" tabSelected="1" workbookViewId="0"/>
  </sheetViews>
  <sheetFormatPr defaultRowHeight="15"/>
  <cols>
    <col min="1" max="1" width="30.7109375" customWidth="1"/>
    <col min="2" max="7" width="15.7109375" style="1" customWidth="1"/>
  </cols>
  <sheetData>
    <row r="1" spans="1:7">
      <c r="A1" s="2" t="s">
        <v>92</v>
      </c>
    </row>
    <row r="2" spans="1:7">
      <c r="A2" s="3" t="s">
        <v>93</v>
      </c>
      <c r="B2" s="4">
        <v>46305</v>
      </c>
    </row>
    <row r="3" spans="1:7">
      <c r="A3" s="5" t="s">
        <v>94</v>
      </c>
    </row>
    <row r="5" spans="1:7">
      <c r="A5" s="6" t="s">
        <v>95</v>
      </c>
      <c r="B5" s="6" t="s">
        <v>96</v>
      </c>
      <c r="C5" s="6" t="s">
        <v>97</v>
      </c>
      <c r="D5" s="6" t="s">
        <v>98</v>
      </c>
      <c r="E5" s="6" t="s">
        <v>99</v>
      </c>
      <c r="F5" s="6" t="s">
        <v>100</v>
      </c>
      <c r="G5" s="6" t="s">
        <v>101</v>
      </c>
    </row>
    <row r="6" spans="1:7">
      <c r="A6" t="s">
        <v>20</v>
      </c>
      <c r="B6" s="1">
        <f>SUMIF(AgedDebt!$A$2:$A$10,$A6,AgedDebt!$J$2:$J$10)</f>
        <v>120.0</v>
      </c>
      <c r="C6" s="1">
        <f>SUMIF(AgedDebt!$A$2:$A$10,$A6,AgedDebt!$K$2:$K$10)</f>
        <v>200.0</v>
      </c>
      <c r="D6" s="1">
        <f>SUMIF(AgedDebt!$A$2:$A$10,$A6,AgedDebt!$L$2:$L$10)</f>
        <v>960.0</v>
      </c>
      <c r="E6" s="1">
        <f>SUMIF(AgedDebt!$A$2:$A$10,$A6,AgedDebt!$M$2:$M$10)</f>
        <v>1560.0</v>
      </c>
      <c r="F6" s="1">
        <f>SUMIF(AgedDebt!$A$2:$A$10,$A6,AgedDebt!$N$2:$N$10)</f>
        <v>-40.0</v>
      </c>
      <c r="G6" s="7">
        <f>SUM(B6:F6)</f>
        <v>2800.0</v>
      </c>
    </row>
    <row r="7" spans="1:7">
      <c r="A7" t="s">
        <v>58</v>
      </c>
      <c r="B7" s="1">
        <f>SUMIF(AgedDebt!$A$2:$A$10,$A7,AgedDebt!$J$2:$J$10)</f>
        <v>1200.0</v>
      </c>
      <c r="C7" s="1">
        <f>SUMIF(AgedDebt!$A$2:$A$10,$A7,AgedDebt!$K$2:$K$10)</f>
        <v>0.0</v>
      </c>
      <c r="D7" s="1">
        <f>SUMIF(AgedDebt!$A$2:$A$10,$A7,AgedDebt!$L$2:$L$10)</f>
        <v>0.0</v>
      </c>
      <c r="E7" s="1">
        <f>SUMIF(AgedDebt!$A$2:$A$10,$A7,AgedDebt!$M$2:$M$10)</f>
        <v>0.0</v>
      </c>
      <c r="F7" s="1">
        <f>SUMIF(AgedDebt!$A$2:$A$10,$A7,AgedDebt!$N$2:$N$10)</f>
        <v>0.0</v>
      </c>
      <c r="G7" s="7">
        <f>SUM(B7:F7)</f>
        <v>1200.0</v>
      </c>
    </row>
    <row r="8" spans="1:7">
      <c r="A8" s="8" t="s">
        <v>101</v>
      </c>
      <c r="B8" s="9">
        <f>SUM(B6:B7)</f>
        <v>1320.0</v>
      </c>
      <c r="C8" s="9">
        <f>SUM(C6:C7)</f>
        <v>200.0</v>
      </c>
      <c r="D8" s="9">
        <f>SUM(D6:D7)</f>
        <v>960.0</v>
      </c>
      <c r="E8" s="9">
        <f>SUM(E6:E7)</f>
        <v>1560.0</v>
      </c>
      <c r="F8" s="9">
        <f>SUM(F6:F7)</f>
        <v>-40.0</v>
      </c>
      <c r="G8" s="9">
        <f>SUM(G6:G7)</f>
        <v>4000.0</v>
      </c>
    </row>
    <row r="10" spans="1:7">
      <c r="A10" s="3" t="s">
        <v>102</v>
      </c>
      <c r="B10" s="10">
        <f>COUNTA(Unresolved!$B$2:$B$2)</f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16.7109375" customWidth="1"/>
    <col min="3" max="3" width="11.7109375" customWidth="1"/>
    <col min="4" max="4" width="16.7109375" customWidth="1"/>
    <col min="5" max="5" width="34.7109375" customWidth="1"/>
    <col min="6" max="6" width="27.7109375" customWidth="1"/>
    <col min="7" max="7" width="18.7109375" customWidth="1"/>
    <col min="8" max="9" width="13.7109375" style="11" customWidth="1"/>
    <col min="10" max="10" width="12.7109375" customWidth="1"/>
    <col min="11" max="11" width="11.7109375" customWidth="1"/>
    <col min="12" max="12" width="13.7109375" style="1" customWidth="1"/>
    <col min="13" max="13" width="11.7109375" style="1" customWidth="1"/>
    <col min="14" max="14" width="13.7109375" style="1" customWidth="1"/>
    <col min="15" max="15" width="17.7109375" customWidth="1"/>
  </cols>
  <sheetData>
    <row r="1" spans="1:15" ht="20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s="11">
        <v>46275</v>
      </c>
      <c r="I2" s="11">
        <v>46305</v>
      </c>
      <c r="J2" t="s">
        <v>22</v>
      </c>
      <c r="K2" t="s">
        <v>23</v>
      </c>
      <c r="L2" s="1">
        <v>100</v>
      </c>
      <c r="M2" s="1">
        <v>20</v>
      </c>
      <c r="N2" s="1">
        <v>120</v>
      </c>
    </row>
    <row r="3" spans="1:15">
      <c r="A3" t="s">
        <v>24</v>
      </c>
      <c r="B3" t="s">
        <v>25</v>
      </c>
      <c r="C3" t="s">
        <v>17</v>
      </c>
      <c r="D3" t="s">
        <v>18</v>
      </c>
      <c r="E3" t="s">
        <v>19</v>
      </c>
      <c r="F3" t="s">
        <v>20</v>
      </c>
      <c r="G3" t="s">
        <v>26</v>
      </c>
      <c r="H3" s="11">
        <v>46274</v>
      </c>
      <c r="I3" s="11">
        <v>46304</v>
      </c>
      <c r="J3" t="s">
        <v>27</v>
      </c>
      <c r="K3" t="s">
        <v>23</v>
      </c>
      <c r="L3" s="1">
        <v>200</v>
      </c>
      <c r="M3" s="1">
        <v>40</v>
      </c>
      <c r="N3" s="1">
        <v>240</v>
      </c>
    </row>
    <row r="4" spans="1:15">
      <c r="A4" t="s">
        <v>28</v>
      </c>
      <c r="B4" t="s">
        <v>29</v>
      </c>
      <c r="C4" t="s">
        <v>17</v>
      </c>
      <c r="D4" t="s">
        <v>18</v>
      </c>
      <c r="E4" t="s">
        <v>19</v>
      </c>
      <c r="F4" t="s">
        <v>20</v>
      </c>
      <c r="G4" t="s">
        <v>30</v>
      </c>
      <c r="H4" s="11">
        <v>46245</v>
      </c>
      <c r="I4" s="11">
        <v>46275</v>
      </c>
      <c r="J4" t="s">
        <v>31</v>
      </c>
      <c r="K4" t="s">
        <v>23</v>
      </c>
      <c r="L4" s="1">
        <v>300</v>
      </c>
      <c r="M4" s="1">
        <v>60</v>
      </c>
      <c r="N4" s="1">
        <v>360</v>
      </c>
    </row>
    <row r="5" spans="1:15">
      <c r="A5" t="s">
        <v>32</v>
      </c>
      <c r="B5" t="s">
        <v>33</v>
      </c>
      <c r="C5" t="s">
        <v>17</v>
      </c>
      <c r="D5" t="s">
        <v>18</v>
      </c>
      <c r="E5" t="s">
        <v>19</v>
      </c>
      <c r="F5" t="s">
        <v>20</v>
      </c>
      <c r="G5" t="s">
        <v>34</v>
      </c>
      <c r="H5" s="11">
        <v>46244</v>
      </c>
      <c r="I5" s="11">
        <v>46274</v>
      </c>
      <c r="J5" t="s">
        <v>35</v>
      </c>
      <c r="K5" t="s">
        <v>23</v>
      </c>
      <c r="L5" s="1">
        <v>400</v>
      </c>
      <c r="M5" s="1">
        <v>80</v>
      </c>
      <c r="N5" s="1">
        <v>480</v>
      </c>
    </row>
    <row r="6" spans="1:15">
      <c r="A6" t="s">
        <v>36</v>
      </c>
      <c r="B6" t="s">
        <v>37</v>
      </c>
      <c r="C6" t="s">
        <v>17</v>
      </c>
      <c r="D6" t="s">
        <v>18</v>
      </c>
      <c r="E6" t="s">
        <v>19</v>
      </c>
      <c r="F6" t="s">
        <v>20</v>
      </c>
      <c r="G6" t="s">
        <v>38</v>
      </c>
      <c r="H6" s="11">
        <v>46215</v>
      </c>
      <c r="I6" s="11">
        <v>46245</v>
      </c>
      <c r="J6" t="s">
        <v>39</v>
      </c>
      <c r="K6" t="s">
        <v>23</v>
      </c>
      <c r="L6" s="1">
        <v>500</v>
      </c>
      <c r="M6" s="1">
        <v>100</v>
      </c>
      <c r="N6" s="1">
        <v>600</v>
      </c>
    </row>
    <row r="7" spans="1:15">
      <c r="A7" t="s">
        <v>40</v>
      </c>
      <c r="B7" t="s">
        <v>41</v>
      </c>
      <c r="C7" t="s">
        <v>17</v>
      </c>
      <c r="D7" t="s">
        <v>18</v>
      </c>
      <c r="E7" t="s">
        <v>19</v>
      </c>
      <c r="F7" t="s">
        <v>20</v>
      </c>
      <c r="G7" t="s">
        <v>42</v>
      </c>
      <c r="H7" s="11">
        <v>46214</v>
      </c>
      <c r="I7" s="11">
        <v>46244</v>
      </c>
      <c r="J7" t="s">
        <v>43</v>
      </c>
      <c r="K7" t="s">
        <v>23</v>
      </c>
      <c r="L7" s="1">
        <v>600</v>
      </c>
      <c r="M7" s="1">
        <v>120</v>
      </c>
      <c r="N7" s="1">
        <v>720</v>
      </c>
    </row>
    <row r="8" spans="1:15">
      <c r="A8" t="s">
        <v>44</v>
      </c>
      <c r="B8" t="s">
        <v>45</v>
      </c>
      <c r="C8" t="s">
        <v>17</v>
      </c>
      <c r="D8" t="s">
        <v>18</v>
      </c>
      <c r="E8" t="s">
        <v>19</v>
      </c>
      <c r="F8" t="s">
        <v>20</v>
      </c>
      <c r="G8" t="s">
        <v>46</v>
      </c>
      <c r="H8" s="11">
        <v>46185</v>
      </c>
      <c r="I8" s="11">
        <v>46215</v>
      </c>
      <c r="J8" t="s">
        <v>47</v>
      </c>
      <c r="K8" t="s">
        <v>23</v>
      </c>
      <c r="L8" s="1">
        <v>700</v>
      </c>
      <c r="M8" s="1">
        <v>140</v>
      </c>
      <c r="N8" s="1">
        <v>840</v>
      </c>
    </row>
    <row r="9" spans="1:15">
      <c r="A9" t="s">
        <v>48</v>
      </c>
      <c r="B9" t="s">
        <v>49</v>
      </c>
      <c r="C9" t="s">
        <v>17</v>
      </c>
      <c r="D9" t="s">
        <v>18</v>
      </c>
      <c r="E9" t="s">
        <v>19</v>
      </c>
      <c r="F9" t="s">
        <v>20</v>
      </c>
      <c r="G9" t="s">
        <v>50</v>
      </c>
      <c r="H9" s="11">
        <v>46184</v>
      </c>
      <c r="I9" s="11">
        <v>46214</v>
      </c>
      <c r="J9" t="s">
        <v>51</v>
      </c>
      <c r="K9" t="s">
        <v>23</v>
      </c>
      <c r="L9" s="1">
        <v>800</v>
      </c>
      <c r="M9" s="1">
        <v>160</v>
      </c>
      <c r="N9" s="1">
        <v>960</v>
      </c>
    </row>
    <row r="10" spans="1:15">
      <c r="A10" t="s">
        <v>52</v>
      </c>
      <c r="B10" t="s">
        <v>53</v>
      </c>
      <c r="C10" t="s">
        <v>17</v>
      </c>
      <c r="D10" t="s">
        <v>18</v>
      </c>
      <c r="E10" t="s">
        <v>19</v>
      </c>
      <c r="F10" t="s">
        <v>20</v>
      </c>
      <c r="G10" t="s">
        <v>54</v>
      </c>
      <c r="H10" s="11">
        <v>46306</v>
      </c>
      <c r="I10" s="11">
        <v>46336</v>
      </c>
      <c r="J10" t="s">
        <v>55</v>
      </c>
      <c r="K10" t="s">
        <v>23</v>
      </c>
      <c r="L10" s="1">
        <v>100</v>
      </c>
      <c r="M10" s="1">
        <v>20</v>
      </c>
      <c r="N10" s="1">
        <v>120</v>
      </c>
    </row>
    <row r="11" spans="1:15">
      <c r="A11" t="s">
        <v>56</v>
      </c>
      <c r="B11" t="s">
        <v>57</v>
      </c>
      <c r="C11" t="s">
        <v>17</v>
      </c>
      <c r="D11" t="s">
        <v>18</v>
      </c>
      <c r="E11" t="s">
        <v>19</v>
      </c>
      <c r="F11" t="s">
        <v>58</v>
      </c>
      <c r="G11" t="s">
        <v>59</v>
      </c>
      <c r="H11" s="11">
        <v>46285</v>
      </c>
      <c r="I11" s="11">
        <v>46315</v>
      </c>
      <c r="J11" t="s">
        <v>60</v>
      </c>
      <c r="K11" t="s">
        <v>23</v>
      </c>
      <c r="L11" s="1">
        <v>1000</v>
      </c>
      <c r="M11" s="1">
        <v>200</v>
      </c>
      <c r="N11" s="1">
        <v>1200</v>
      </c>
    </row>
    <row r="12" spans="1:15">
      <c r="A12" t="s">
        <v>61</v>
      </c>
      <c r="B12" t="s">
        <v>62</v>
      </c>
      <c r="C12" t="s">
        <v>17</v>
      </c>
      <c r="D12" t="s">
        <v>63</v>
      </c>
      <c r="E12" t="s">
        <v>19</v>
      </c>
      <c r="F12" t="s">
        <v>20</v>
      </c>
      <c r="G12" t="s">
        <v>64</v>
      </c>
      <c r="H12" s="11">
        <v>46266</v>
      </c>
      <c r="I12" s="11">
        <v>46266</v>
      </c>
      <c r="K12" t="s">
        <v>23</v>
      </c>
      <c r="L12" s="1">
        <v>-100</v>
      </c>
      <c r="M12" s="1">
        <v>-20</v>
      </c>
      <c r="N12" s="1">
        <v>-120</v>
      </c>
      <c r="O12" t="s">
        <v>38</v>
      </c>
    </row>
    <row r="13" spans="1:15">
      <c r="A13" t="s">
        <v>65</v>
      </c>
      <c r="B13" t="s">
        <v>66</v>
      </c>
      <c r="C13" t="s">
        <v>17</v>
      </c>
      <c r="D13" t="s">
        <v>63</v>
      </c>
      <c r="E13" t="s">
        <v>19</v>
      </c>
      <c r="F13" t="s">
        <v>20</v>
      </c>
      <c r="G13" t="s">
        <v>67</v>
      </c>
      <c r="H13" s="11">
        <v>46307</v>
      </c>
      <c r="I13" s="11">
        <v>46307</v>
      </c>
      <c r="K13" t="s">
        <v>23</v>
      </c>
      <c r="L13" s="1">
        <v>-200</v>
      </c>
      <c r="M13" s="1">
        <v>-40</v>
      </c>
      <c r="N13" s="1">
        <v>-240</v>
      </c>
      <c r="O13" t="s">
        <v>42</v>
      </c>
    </row>
    <row r="14" spans="1:15">
      <c r="A14" t="s">
        <v>68</v>
      </c>
      <c r="B14" t="s">
        <v>69</v>
      </c>
      <c r="C14" t="s">
        <v>17</v>
      </c>
      <c r="D14" t="s">
        <v>63</v>
      </c>
      <c r="E14" t="s">
        <v>19</v>
      </c>
      <c r="F14" t="s">
        <v>20</v>
      </c>
      <c r="G14" t="s">
        <v>70</v>
      </c>
      <c r="H14" s="11">
        <v>46280</v>
      </c>
      <c r="I14" s="11">
        <v>46280</v>
      </c>
      <c r="K14" t="s">
        <v>23</v>
      </c>
      <c r="L14" s="1">
        <v>-100</v>
      </c>
      <c r="M14" s="1">
        <v>-20</v>
      </c>
      <c r="N14" s="1">
        <v>-120</v>
      </c>
      <c r="O14" t="s">
        <v>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N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7.7109375" customWidth="1"/>
    <col min="2" max="2" width="18.7109375" customWidth="1"/>
    <col min="3" max="3" width="13.7109375" style="11" customWidth="1"/>
    <col min="4" max="5" width="13.7109375" style="1" customWidth="1"/>
    <col min="6" max="6" width="12.7109375" style="1" customWidth="1"/>
    <col min="7" max="7" width="13.7109375" style="1" customWidth="1"/>
    <col min="8" max="8" width="15.7109375" customWidth="1"/>
    <col min="9" max="9" width="10.7109375" customWidth="1"/>
    <col min="10" max="10" width="13.7109375" style="1" customWidth="1"/>
    <col min="11" max="14" width="11.7109375" style="1" customWidth="1"/>
  </cols>
  <sheetData>
    <row r="1" spans="1:14" ht="20" customHeight="1">
      <c r="A1" s="6" t="s">
        <v>5</v>
      </c>
      <c r="B1" s="6" t="s">
        <v>6</v>
      </c>
      <c r="C1" s="6" t="s">
        <v>8</v>
      </c>
      <c r="D1" s="6" t="s">
        <v>13</v>
      </c>
      <c r="E1" s="6" t="s">
        <v>71</v>
      </c>
      <c r="F1" s="6" t="s">
        <v>72</v>
      </c>
      <c r="G1" s="6" t="s">
        <v>73</v>
      </c>
      <c r="H1" s="6" t="s">
        <v>74</v>
      </c>
      <c r="I1" s="6" t="s">
        <v>75</v>
      </c>
      <c r="J1" s="6" t="s">
        <v>76</v>
      </c>
      <c r="K1" s="6" t="s">
        <v>77</v>
      </c>
      <c r="L1" s="6" t="s">
        <v>78</v>
      </c>
      <c r="M1" s="6" t="s">
        <v>79</v>
      </c>
      <c r="N1" s="6" t="s">
        <v>80</v>
      </c>
    </row>
    <row r="2" spans="1:14">
      <c r="A2" t="s">
        <v>20</v>
      </c>
      <c r="B2" t="s">
        <v>21</v>
      </c>
      <c r="C2" s="11">
        <v>46305</v>
      </c>
      <c r="D2" s="1">
        <v>120</v>
      </c>
      <c r="E2" s="1">
        <v>0</v>
      </c>
      <c r="F2" s="1">
        <v>0</v>
      </c>
      <c r="G2" s="1">
        <v>120</v>
      </c>
      <c r="H2">
        <v>0</v>
      </c>
      <c r="I2" t="s">
        <v>76</v>
      </c>
      <c r="J2" s="1">
        <v>120</v>
      </c>
      <c r="K2" s="1">
        <v>0</v>
      </c>
      <c r="L2" s="1">
        <v>0</v>
      </c>
      <c r="M2" s="1">
        <v>0</v>
      </c>
      <c r="N2" s="1">
        <v>0</v>
      </c>
    </row>
    <row r="3" spans="1:14">
      <c r="A3" t="s">
        <v>20</v>
      </c>
      <c r="B3" t="s">
        <v>26</v>
      </c>
      <c r="C3" s="11">
        <v>46304</v>
      </c>
      <c r="D3" s="1">
        <v>240</v>
      </c>
      <c r="E3" s="1">
        <v>40</v>
      </c>
      <c r="F3" s="1">
        <v>0</v>
      </c>
      <c r="G3" s="1">
        <v>200</v>
      </c>
      <c r="H3">
        <v>1</v>
      </c>
      <c r="I3" t="s">
        <v>77</v>
      </c>
      <c r="J3" s="1">
        <v>0</v>
      </c>
      <c r="K3" s="1">
        <v>200</v>
      </c>
      <c r="L3" s="1">
        <v>0</v>
      </c>
      <c r="M3" s="1">
        <v>0</v>
      </c>
      <c r="N3" s="1">
        <v>0</v>
      </c>
    </row>
    <row r="4" spans="1:14">
      <c r="A4" t="s">
        <v>20</v>
      </c>
      <c r="B4" t="s">
        <v>30</v>
      </c>
      <c r="C4" s="11">
        <v>46275</v>
      </c>
      <c r="D4" s="1">
        <v>360</v>
      </c>
      <c r="E4" s="1">
        <v>360</v>
      </c>
      <c r="F4" s="1">
        <v>0</v>
      </c>
      <c r="G4" s="1">
        <v>0</v>
      </c>
      <c r="H4">
        <v>30</v>
      </c>
      <c r="I4" t="s">
        <v>77</v>
      </c>
      <c r="J4" s="1">
        <v>0</v>
      </c>
      <c r="K4" s="1">
        <v>0</v>
      </c>
      <c r="L4" s="1">
        <v>0</v>
      </c>
      <c r="M4" s="1">
        <v>0</v>
      </c>
      <c r="N4" s="1">
        <v>0</v>
      </c>
    </row>
    <row r="5" spans="1:14">
      <c r="A5" t="s">
        <v>20</v>
      </c>
      <c r="B5" t="s">
        <v>34</v>
      </c>
      <c r="C5" s="11">
        <v>46274</v>
      </c>
      <c r="D5" s="1">
        <v>480</v>
      </c>
      <c r="E5" s="1">
        <v>0</v>
      </c>
      <c r="F5" s="1">
        <v>0</v>
      </c>
      <c r="G5" s="1">
        <v>480</v>
      </c>
      <c r="H5">
        <v>31</v>
      </c>
      <c r="I5" t="s">
        <v>78</v>
      </c>
      <c r="J5" s="1">
        <v>0</v>
      </c>
      <c r="K5" s="1">
        <v>0</v>
      </c>
      <c r="L5" s="1">
        <v>480</v>
      </c>
      <c r="M5" s="1">
        <v>0</v>
      </c>
      <c r="N5" s="1">
        <v>0</v>
      </c>
    </row>
    <row r="6" spans="1:14">
      <c r="A6" t="s">
        <v>20</v>
      </c>
      <c r="B6" t="s">
        <v>38</v>
      </c>
      <c r="C6" s="11">
        <v>46245</v>
      </c>
      <c r="D6" s="1">
        <v>600</v>
      </c>
      <c r="E6" s="1">
        <v>0</v>
      </c>
      <c r="F6" s="1">
        <v>-120</v>
      </c>
      <c r="G6" s="1">
        <v>480</v>
      </c>
      <c r="H6">
        <v>60</v>
      </c>
      <c r="I6" t="s">
        <v>78</v>
      </c>
      <c r="J6" s="1">
        <v>0</v>
      </c>
      <c r="K6" s="1">
        <v>0</v>
      </c>
      <c r="L6" s="1">
        <v>480</v>
      </c>
      <c r="M6" s="1">
        <v>0</v>
      </c>
      <c r="N6" s="1">
        <v>0</v>
      </c>
    </row>
    <row r="7" spans="1:14">
      <c r="A7" t="s">
        <v>20</v>
      </c>
      <c r="B7" t="s">
        <v>42</v>
      </c>
      <c r="C7" s="11">
        <v>46244</v>
      </c>
      <c r="D7" s="1">
        <v>720</v>
      </c>
      <c r="E7" s="1">
        <v>0</v>
      </c>
      <c r="F7" s="1">
        <v>0</v>
      </c>
      <c r="G7" s="1">
        <v>720</v>
      </c>
      <c r="H7">
        <v>61</v>
      </c>
      <c r="I7" t="s">
        <v>79</v>
      </c>
      <c r="J7" s="1">
        <v>0</v>
      </c>
      <c r="K7" s="1">
        <v>0</v>
      </c>
      <c r="L7" s="1">
        <v>0</v>
      </c>
      <c r="M7" s="1">
        <v>720</v>
      </c>
      <c r="N7" s="1">
        <v>0</v>
      </c>
    </row>
    <row r="8" spans="1:14">
      <c r="A8" t="s">
        <v>20</v>
      </c>
      <c r="B8" t="s">
        <v>46</v>
      </c>
      <c r="C8" s="11">
        <v>46215</v>
      </c>
      <c r="D8" s="1">
        <v>840</v>
      </c>
      <c r="E8" s="1">
        <v>0</v>
      </c>
      <c r="F8" s="1">
        <v>0</v>
      </c>
      <c r="G8" s="1">
        <v>840</v>
      </c>
      <c r="H8">
        <v>90</v>
      </c>
      <c r="I8" t="s">
        <v>79</v>
      </c>
      <c r="J8" s="1">
        <v>0</v>
      </c>
      <c r="K8" s="1">
        <v>0</v>
      </c>
      <c r="L8" s="1">
        <v>0</v>
      </c>
      <c r="M8" s="1">
        <v>840</v>
      </c>
      <c r="N8" s="1">
        <v>0</v>
      </c>
    </row>
    <row r="9" spans="1:14">
      <c r="A9" t="s">
        <v>20</v>
      </c>
      <c r="B9" t="s">
        <v>50</v>
      </c>
      <c r="C9" s="11">
        <v>46214</v>
      </c>
      <c r="D9" s="1">
        <v>960</v>
      </c>
      <c r="E9" s="1">
        <v>1000</v>
      </c>
      <c r="F9" s="1">
        <v>0</v>
      </c>
      <c r="G9" s="1">
        <v>-40</v>
      </c>
      <c r="H9">
        <v>91</v>
      </c>
      <c r="I9" t="s">
        <v>80</v>
      </c>
      <c r="J9" s="1">
        <v>0</v>
      </c>
      <c r="K9" s="1">
        <v>0</v>
      </c>
      <c r="L9" s="1">
        <v>0</v>
      </c>
      <c r="M9" s="1">
        <v>0</v>
      </c>
      <c r="N9" s="1">
        <v>-40</v>
      </c>
    </row>
    <row r="10" spans="1:14">
      <c r="A10" t="s">
        <v>58</v>
      </c>
      <c r="B10" t="s">
        <v>59</v>
      </c>
      <c r="C10" s="11">
        <v>46315</v>
      </c>
      <c r="D10" s="1">
        <v>1200</v>
      </c>
      <c r="E10" s="1">
        <v>0</v>
      </c>
      <c r="F10" s="1">
        <v>0</v>
      </c>
      <c r="G10" s="1">
        <v>1200</v>
      </c>
      <c r="H10">
        <v>0</v>
      </c>
      <c r="I10" t="s">
        <v>76</v>
      </c>
      <c r="J10" s="1">
        <v>1200</v>
      </c>
      <c r="K10" s="1">
        <v>0</v>
      </c>
      <c r="L10" s="1">
        <v>0</v>
      </c>
      <c r="M10" s="1">
        <v>0</v>
      </c>
      <c r="N10" s="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7.7109375" customWidth="1"/>
    <col min="3" max="3" width="27.7109375" customWidth="1"/>
    <col min="4" max="4" width="13.7109375" style="11" customWidth="1"/>
    <col min="5" max="5" width="13.7109375" style="1" customWidth="1"/>
  </cols>
  <sheetData>
    <row r="1" spans="1:5" ht="20" customHeight="1">
      <c r="A1" s="6" t="s">
        <v>81</v>
      </c>
      <c r="B1" s="6" t="s">
        <v>82</v>
      </c>
      <c r="C1" s="6" t="s">
        <v>5</v>
      </c>
      <c r="D1" s="6" t="s">
        <v>83</v>
      </c>
      <c r="E1" s="6" t="s">
        <v>84</v>
      </c>
    </row>
    <row r="2" spans="1:5">
      <c r="A2" t="s">
        <v>85</v>
      </c>
      <c r="B2" t="s">
        <v>26</v>
      </c>
      <c r="C2" t="s">
        <v>20</v>
      </c>
      <c r="D2" s="11">
        <v>46296</v>
      </c>
      <c r="E2" s="1">
        <v>40</v>
      </c>
    </row>
    <row r="3" spans="1:5">
      <c r="A3" t="s">
        <v>86</v>
      </c>
      <c r="B3" t="s">
        <v>30</v>
      </c>
      <c r="C3" t="s">
        <v>20</v>
      </c>
      <c r="D3" s="11">
        <v>46300</v>
      </c>
      <c r="E3" s="1">
        <v>360</v>
      </c>
    </row>
    <row r="4" spans="1:5">
      <c r="A4" t="s">
        <v>87</v>
      </c>
      <c r="B4" t="s">
        <v>34</v>
      </c>
      <c r="C4" t="s">
        <v>20</v>
      </c>
      <c r="D4" s="11">
        <v>46306</v>
      </c>
      <c r="E4" s="1">
        <v>100</v>
      </c>
    </row>
    <row r="5" spans="1:5">
      <c r="A5" t="s">
        <v>88</v>
      </c>
      <c r="B5" t="s">
        <v>46</v>
      </c>
      <c r="C5" t="s">
        <v>58</v>
      </c>
      <c r="D5" s="11">
        <v>46295</v>
      </c>
      <c r="E5" s="1">
        <v>840</v>
      </c>
    </row>
    <row r="6" spans="1:5">
      <c r="A6" t="s">
        <v>89</v>
      </c>
      <c r="B6" t="s">
        <v>50</v>
      </c>
      <c r="C6" t="s">
        <v>20</v>
      </c>
      <c r="D6" s="11">
        <v>46235</v>
      </c>
      <c r="E6" s="1">
        <v>1000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3" width="10.7109375" customWidth="1"/>
  </cols>
  <sheetData>
    <row r="1" spans="1:3" ht="20" customHeight="1">
      <c r="A1" s="6" t="s">
        <v>90</v>
      </c>
      <c r="B1" s="6" t="s">
        <v>91</v>
      </c>
      <c r="C1" s="6" t="s">
        <v>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A10"/>
  <sheetViews>
    <sheetView showGridLines="0" workbookViewId="0"/>
  </sheetViews>
  <sheetFormatPr defaultRowHeight="15"/>
  <cols>
    <col min="1" max="1" width="120.7109375" customWidth="1"/>
  </cols>
  <sheetData>
    <row r="1" spans="1:1">
      <c r="A1" s="2" t="s">
        <v>103</v>
      </c>
    </row>
    <row r="2" spans="1:1">
      <c r="A2" t="s">
        <v>104</v>
      </c>
    </row>
    <row r="4" spans="1:1">
      <c r="A4" t="s">
        <v>105</v>
      </c>
    </row>
    <row r="5" spans="1:1">
      <c r="A5" t="s">
        <v>106</v>
      </c>
    </row>
    <row r="6" spans="1:1">
      <c r="A6" t="s">
        <v>107</v>
      </c>
    </row>
    <row r="7" spans="1:1">
      <c r="A7" t="s">
        <v>108</v>
      </c>
    </row>
    <row r="8" spans="1:1">
      <c r="A8" t="s">
        <v>109</v>
      </c>
    </row>
    <row r="9" spans="1:1">
      <c r="A9" t="s">
        <v>110</v>
      </c>
    </row>
    <row r="10" spans="1:1">
      <c r="A10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Summary</vt:lpstr>
      <vt:lpstr>PostedReceivables</vt:lpstr>
      <vt:lpstr>AgedDebt</vt:lpstr>
      <vt:lpstr>Payments</vt:lpstr>
      <vt:lpstr>Unresolved</vt:lpstr>
      <vt:lpstr>ReadMe</vt:lpstr>
      <vt:lpstr>ReportingDate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2026-10-10T20:54:03Z</dcterms:created>
  <dcterms:modified xsi:type="dcterms:W3CDTF">2026-10-10T20:54:03Z</dcterms:modified>
</cp:coreProperties>
</file>